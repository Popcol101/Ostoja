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sumowanie" sheetId="1" state="visible" r:id="rId3"/>
    <sheet name="Założenia" sheetId="2" state="visible" r:id="rId4"/>
    <sheet name="Jednorazowe" sheetId="3" state="visible" r:id="rId5"/>
    <sheet name="Miesięczne" sheetId="4" state="visible" r:id="rId6"/>
    <sheet name="Źródł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<sst xmlns="http://schemas.openxmlformats.org/spreadsheetml/2006/main" count="308" uniqueCount="203">
  <si>
    <t xml:space="preserve">Ostoja – kosztorys bez kosztów programistów</t>
  </si>
  <si>
    <t xml:space="preserve">Kwoty netto w złotych. Wszystko wylicza się z zakładek Założenia, Jednorazowe i Miesięczne.</t>
  </si>
  <si>
    <t xml:space="preserve">Pilot</t>
  </si>
  <si>
    <t xml:space="preserve">Start</t>
  </si>
  <si>
    <t xml:space="preserve">Jak liczone</t>
  </si>
  <si>
    <t xml:space="preserve">Długość scenariusza (miesiące)</t>
  </si>
  <si>
    <t xml:space="preserve">Z Założeń.</t>
  </si>
  <si>
    <t xml:space="preserve">Koszty jednorazowe</t>
  </si>
  <si>
    <t xml:space="preserve">Pilot: przed pilotem. Start: przed prawdziwymi danymi (np. test penetracyjny).</t>
  </si>
  <si>
    <t xml:space="preserve">Koszty miesięczne</t>
  </si>
  <si>
    <t xml:space="preserve">Suma z zakładki Miesięczne.</t>
  </si>
  <si>
    <t xml:space="preserve">Koszt całego scenariusza</t>
  </si>
  <si>
    <t xml:space="preserve">Jednorazowe + miesięczne × liczba miesięcy.</t>
  </si>
  <si>
    <t xml:space="preserve">Zlecenia z umową miesięcznie</t>
  </si>
  <si>
    <t xml:space="preserve">Zakłady × zlecenia na zakład.</t>
  </si>
  <si>
    <t xml:space="preserve">Przychód miesięczny (opłata Ostoi)</t>
  </si>
  <si>
    <t xml:space="preserve">Zlecenia × 250 zł.</t>
  </si>
  <si>
    <t xml:space="preserve">Wynik miesięczny</t>
  </si>
  <si>
    <t xml:space="preserve">Przychód − koszty miesięczne (przed podatkiem).</t>
  </si>
  <si>
    <t xml:space="preserve">Próg rentowności – zlecenia miesięcznie</t>
  </si>
  <si>
    <t xml:space="preserve">Ile podpisanych umów pokrywa koszty miesięczne.</t>
  </si>
  <si>
    <t xml:space="preserve">Próg rentowności – zlecenia na zakład</t>
  </si>
  <si>
    <t xml:space="preserve">Próg ÷ liczba zakładów.</t>
  </si>
  <si>
    <t xml:space="preserve">Gotówka potrzebna na start</t>
  </si>
  <si>
    <t xml:space="preserve">Jednorazowe + kapitał + koszty pilotu − przychód z pilotu.</t>
  </si>
  <si>
    <t xml:space="preserve">Uwagi</t>
  </si>
  <si>
    <t xml:space="preserve">• Nie liczymy wynagrodzeń programistów – aplikację rozwijasz z Claude (koszt narzędzia jest w zakładce Miesięczne).</t>
  </si>
  <si>
    <t xml:space="preserve">• Usługi z USA (Supabase, Vercel, Claude) rozlicza się bez polskiego VAT (import usług); polskie faktury – netto, VAT do odliczenia po rejestracji do VAT.</t>
  </si>
  <si>
    <t xml:space="preserve">• Przy jednym wspólniku dochodzi ok. 2 619 zł ZUS i składki zdrowotnej miesięcznie – przełącznik w zakładce Założenia.</t>
  </si>
  <si>
    <t xml:space="preserve">• Pozycje „szacunek” trzeba potwierdzić ofertami (kancelaria, test penetracyjny, księgowość, ubezpieczenie, druk). Ceny z cenników sprawdzono 15–16.10.2026.</t>
  </si>
  <si>
    <t xml:space="preserve">• Zmiany 16.10.2026: kurs NBP z 16.10, wdrożony kod SMS dla rodziny, własny serwer poczty dla linków logowania, monitoring błędów i klepsydry online w aplikacji (bez dodatkowych opłat), test penetracyjny przed startem.</t>
  </si>
  <si>
    <t xml:space="preserve">Ostoja – założenia kosztorysu</t>
  </si>
  <si>
    <t xml:space="preserve">Niebieskie liczby to dane wejściowe – zmień je, a reszta przeliczy się sama. Żółte tło: kluczowe założenia. Kwoty netto (bez VAT).</t>
  </si>
  <si>
    <t xml:space="preserve">Parametr</t>
  </si>
  <si>
    <t xml:space="preserve">Jednostka</t>
  </si>
  <si>
    <t xml:space="preserve">Źródło / uwagi</t>
  </si>
  <si>
    <t xml:space="preserve">Kurs USD/PLN</t>
  </si>
  <si>
    <t xml:space="preserve">zł za 1 USD</t>
  </si>
  <si>
    <t xml:space="preserve">Kurs średni NBP z 16.10.2026 (comparic.pl). Usługi Supabase, Vercel, Claude są w USD.</t>
  </si>
  <si>
    <t xml:space="preserve">Długość scenariusza</t>
  </si>
  <si>
    <t xml:space="preserve">miesiące</t>
  </si>
  <si>
    <t xml:space="preserve">Pilot: 3 miesiące w Łodzi z 5 zakładami. Start: pierwszy rok sprzedaży.</t>
  </si>
  <si>
    <t xml:space="preserve">Zakłady partnerskie</t>
  </si>
  <si>
    <t xml:space="preserve">zakłady</t>
  </si>
  <si>
    <t xml:space="preserve">Założenie. Start: 2–3 miasta.</t>
  </si>
  <si>
    <t xml:space="preserve">Zlecenia z umową na zakład</t>
  </si>
  <si>
    <t xml:space="preserve">na miesiąc</t>
  </si>
  <si>
    <t xml:space="preserve">Założenie do sprawdzenia w pilocie.</t>
  </si>
  <si>
    <t xml:space="preserve">Zlecenia z umową razem</t>
  </si>
  <si>
    <t xml:space="preserve">Wyliczone.</t>
  </si>
  <si>
    <t xml:space="preserve">Zapytania na jedno zlecenie</t>
  </si>
  <si>
    <t xml:space="preserve">zapytania</t>
  </si>
  <si>
    <t xml:space="preserve">Założenie: połowa zapytań kończy się umową.</t>
  </si>
  <si>
    <t xml:space="preserve">SMS-y z linkiem na zlecenie</t>
  </si>
  <si>
    <t xml:space="preserve">SMS-y</t>
  </si>
  <si>
    <t xml:space="preserve">Pierwszy link i jedno przypomnienie (limit w bazie: 3 na dobę).</t>
  </si>
  <si>
    <t xml:space="preserve">Części jednego SMS-a</t>
  </si>
  <si>
    <t xml:space="preserve">części</t>
  </si>
  <si>
    <t xml:space="preserve">Wzór SMS-a z polskimi literami ma ok. 170 znaków = 3 części po 67 znaków. Bez polskich liter: 2.</t>
  </si>
  <si>
    <t xml:space="preserve">Cena części SMS netto</t>
  </si>
  <si>
    <t xml:space="preserve">zł</t>
  </si>
  <si>
    <t xml:space="preserve">SMSAPI: 0,17 zł przy doładowaniu 49–499 zł; 0,16 zł przy 500–1 999 zł (smsapi.pl/cennik). Jedna cena dla obu scenariuszy.</t>
  </si>
  <si>
    <t xml:space="preserve">Osoby z firmowym e-mailem</t>
  </si>
  <si>
    <t xml:space="preserve">osoby</t>
  </si>
  <si>
    <t xml:space="preserve">Założenie.</t>
  </si>
  <si>
    <t xml:space="preserve">Jedyny wspólnik płaci ZUS (1 = tak, 0 = nie)</t>
  </si>
  <si>
    <t xml:space="preserve">Przy jednym wspólniku obowiązkowy ZUS i składka zdrowotna (ok. 2 619 zł/mies.). Przy dwóch i więcej wspólnikach bez wynagrodzenia – 0 (norman.finance).</t>
  </si>
  <si>
    <t xml:space="preserve">Opłata Ostoi za zlecenie z umową</t>
  </si>
  <si>
    <t xml:space="preserve">zł netto</t>
  </si>
  <si>
    <t xml:space="preserve">Model z panelu partnera: opłata tylko za podpisaną umowę. Jeśli w pilocie zakłady testują za darmo, wpisz 0 w kolumnie Pilot.</t>
  </si>
  <si>
    <t xml:space="preserve">Koszty jednorazowe (przed pilotem)</t>
  </si>
  <si>
    <t xml:space="preserve">Programiści: 0 zł (aplikację budujesz z Claude). Kwoty netto; „szacunek” = brak publicznego cennika, kwota do potwierdzenia ofertą.</t>
  </si>
  <si>
    <t xml:space="preserve">Pozycja</t>
  </si>
  <si>
    <t xml:space="preserve">Kategoria</t>
  </si>
  <si>
    <t xml:space="preserve">Kwota netto</t>
  </si>
  <si>
    <t xml:space="preserve">Rodzaj</t>
  </si>
  <si>
    <t xml:space="preserve">Kiedy</t>
  </si>
  <si>
    <t xml:space="preserve">Rejestracja sp. z o.o. przez S24 (opłata sądowa 250 zł + PCC)</t>
  </si>
  <si>
    <t xml:space="preserve">Spółka</t>
  </si>
  <si>
    <t xml:space="preserve">cennik</t>
  </si>
  <si>
    <t xml:space="preserve">norman.finance, stan na 9.10.2026. Ogłoszenie w MSiG bezpłatne od 29.11.2025.</t>
  </si>
  <si>
    <t xml:space="preserve">Znak towarowy w UPRP – zgłoszenie elektroniczne, klasa 1</t>
  </si>
  <si>
    <t xml:space="preserve">Marka</t>
  </si>
  <si>
    <t xml:space="preserve">Klasa 35 (pośrednictwo, platforma). poradnikprzedsiebiorcy.pl – stawki z rozporządzenia z 2016 r.; sprawdź w UPRP przed zgłoszeniem.</t>
  </si>
  <si>
    <t xml:space="preserve">Znak towarowy – 2 kolejne klasy (42, 45) × 120 zł</t>
  </si>
  <si>
    <t xml:space="preserve">Klasy 42 (oprogramowanie jako usługa) i 45 (usługi związane z pogrzebem).</t>
  </si>
  <si>
    <t xml:space="preserve">Znak towarowy – opłata za 10 lat ochrony, 3 klasy × 400 zł</t>
  </si>
  <si>
    <t xml:space="preserve">Płatna po decyzji o udzieleniu prawa.</t>
  </si>
  <si>
    <t xml:space="preserve">Znak towarowy – publikacja o udzieleniu prawa</t>
  </si>
  <si>
    <t xml:space="preserve">Jak wyżej.</t>
  </si>
  <si>
    <t xml:space="preserve">Regulaminy, polityka prywatności, umowa partnerska, umowa powierzenia danych</t>
  </si>
  <si>
    <t xml:space="preserve">Prawo i RODO</t>
  </si>
  <si>
    <t xml:space="preserve">szacunek</t>
  </si>
  <si>
    <t xml:space="preserve">Kancelaria; 2 regulaminy (rodziny, zakłady), DPA z zakładami, klauzule. Wyceny kancelarii zwykle 4–10 tys. zł.</t>
  </si>
  <si>
    <t xml:space="preserve">Przegląd bezpieczeństwa i RODO przed prawdziwymi danymi</t>
  </si>
  <si>
    <t xml:space="preserve">Warunek z CLAUDE.md. Test aplikacji + rejestr czynności przetwarzania.</t>
  </si>
  <si>
    <t xml:space="preserve">Domena .pl – pierwszy rok</t>
  </si>
  <si>
    <t xml:space="preserve">Infrastruktura</t>
  </si>
  <si>
    <t xml:space="preserve">OVHcloud: 16,69 zł netto pierwszy rok, odnowienie 58,99 zł netto.</t>
  </si>
  <si>
    <t xml:space="preserve">Wizytówki 2 × 100 szt.</t>
  </si>
  <si>
    <t xml:space="preserve">Materiały</t>
  </si>
  <si>
    <t xml:space="preserve">Druk cyfrowy, papier niepowlekany 350 g.</t>
  </si>
  <si>
    <t xml:space="preserve">Naklejki „Partner Ostoi” 120 × 120 mm, 10 szt.</t>
  </si>
  <si>
    <t xml:space="preserve">Folia matowa.</t>
  </si>
  <si>
    <t xml:space="preserve">Test penetracyjny aplikacji (zewnętrzna firma)</t>
  </si>
  <si>
    <t xml:space="preserve">Przed startem z prawdziwymi danymi (dokument RODO, rozdz. 8). Mała aplikacja webowa: zwykle kilka–kilkanaście tys. zł, zależnie od zakresu – do potwierdzenia ofertą.</t>
  </si>
  <si>
    <t xml:space="preserve">Razem koszty jednorazowe</t>
  </si>
  <si>
    <t xml:space="preserve">w tym przed pilotem</t>
  </si>
  <si>
    <t xml:space="preserve">w tym przed startem z prawdziwymi danymi</t>
  </si>
  <si>
    <t xml:space="preserve">Kolumna Kiedy: wpisz Pilot albo Start – od tego zależy, do którego scenariusza trafia koszt.</t>
  </si>
  <si>
    <t xml:space="preserve">Kapitał zakładowy (minimum)</t>
  </si>
  <si>
    <t xml:space="preserve">To nie jest koszt – pieniądze zostają w spółce i można je wydać na jej potrzeby. Liczymy je do gotówki potrzebnej na start.</t>
  </si>
  <si>
    <t xml:space="preserve">Kwota = cena jednostkowa (w USD przeliczona po kursie z Założeń) × ilość. Ilości i ceny na niebiesko można zmieniać.</t>
  </si>
  <si>
    <t xml:space="preserve">Cena jedn.</t>
  </si>
  <si>
    <t xml:space="preserve">Waluta</t>
  </si>
  <si>
    <t xml:space="preserve">Ilość – pilot</t>
  </si>
  <si>
    <t xml:space="preserve">Ilość – start</t>
  </si>
  <si>
    <t xml:space="preserve">Pilot / mies.</t>
  </si>
  <si>
    <t xml:space="preserve">Start / mies.</t>
  </si>
  <si>
    <t xml:space="preserve">Supabase Pro – baza produkcyjna (Frankfurt), compute Micro w cenie</t>
  </si>
  <si>
    <t xml:space="preserve">USD</t>
  </si>
  <si>
    <t xml:space="preserve">25 USD/mies. z kredytem 10 USD, który pokrywa instancję Micro (makerkit.dev, 2026).</t>
  </si>
  <si>
    <t xml:space="preserve">Supabase – drugi projekt (wersja testowa), compute Micro</t>
  </si>
  <si>
    <t xml:space="preserve">W pilocie wersja testowa na planie Free (usypia po tygodniu bez ruchu).</t>
  </si>
  <si>
    <t xml:space="preserve">Vercel Pro – 1 miejsce</t>
  </si>
  <si>
    <t xml:space="preserve">20 USD za miejsce, zawiera 20 USD kredytu na ruch. Plan Hobby nie pozwala na użytek komercyjny.</t>
  </si>
  <si>
    <t xml:space="preserve">Domena .pl – odnowienie (1/12 roku)</t>
  </si>
  <si>
    <t xml:space="preserve">PLN</t>
  </si>
  <si>
    <t xml:space="preserve">OVHcloud: 58,99 zł netto rocznie od drugiego roku.</t>
  </si>
  <si>
    <t xml:space="preserve">E-maile z linkami logowania – własny SMTP (Brevo, plan Free)</t>
  </si>
  <si>
    <t xml:space="preserve">Wymagany: wbudowana poczta Supabase wysyła tylko do członków zespołu projektu. Brevo (firma z UE): 300 e-maili dziennie za darmo, plan Starter od 9 USD/mies.</t>
  </si>
  <si>
    <t xml:space="preserve">Monitoring błędów (wbudowany – panel administratora → Błędy)</t>
  </si>
  <si>
    <t xml:space="preserve">Zbudowany w aplikacji 16.10.2026, bez danych osobowych; bez zewnętrznej usługi.</t>
  </si>
  <si>
    <t xml:space="preserve">Klepsydry online i obrazy podglądu linków</t>
  </si>
  <si>
    <t xml:space="preserve">W ramach Vercel Pro (funkcje i ruch mieszczą się w kredycie 20 USD przy skali pilotu).</t>
  </si>
  <si>
    <t xml:space="preserve">SMS z linkiem dla rodziny (części SMS)</t>
  </si>
  <si>
    <t xml:space="preserve">Powiadomienia</t>
  </si>
  <si>
    <t xml:space="preserve">Ilość = zlecenia × SMS-y na zlecenie × części. Cena z Założeń (SMSAPI).</t>
  </si>
  <si>
    <t xml:space="preserve">SMS z kodem weryfikacji numeru rodziny</t>
  </si>
  <si>
    <t xml:space="preserve">Wdrożone: kod przed wysłaniem zapytania, bez polskich liter = 1 część. Ilość = zapytania (zlecenia × zapytania na zlecenie); ponowne wysyłki kodu zwiększą ją nieznacznie.</t>
  </si>
  <si>
    <t xml:space="preserve">Powiadomienia push (web push)</t>
  </si>
  <si>
    <t xml:space="preserve">Bezpłatne – przez przeglądarkę, bez aplikacji w sklepie.</t>
  </si>
  <si>
    <t xml:space="preserve">Claude Max 5x – narzędzie, w którym powstaje aplikacja</t>
  </si>
  <si>
    <t xml:space="preserve">Narzędzia</t>
  </si>
  <si>
    <t xml:space="preserve">100 USD/mies. (support.claude.com). Po zbudowaniu wersji 1 wystarczy Pro – 20 USD.</t>
  </si>
  <si>
    <t xml:space="preserve">Google Workspace Business Starter (plan roczny)</t>
  </si>
  <si>
    <t xml:space="preserve">31,50 zł za osobę/mies. przy umowie rocznej, 37,80 zł elastycznie (antyweb.pl, cennik od 2025).</t>
  </si>
  <si>
    <t xml:space="preserve">Pełna księgowość sp. z o.o.</t>
  </si>
  <si>
    <t xml:space="preserve">Biura rachunkowe: 600–1 500 zł netto/mies. (norman.finance, 2026).</t>
  </si>
  <si>
    <t xml:space="preserve">Konto firmowe</t>
  </si>
  <si>
    <t xml:space="preserve">0–100 zł/mies.</t>
  </si>
  <si>
    <t xml:space="preserve">Adres siedziby (wirtualne biuro)</t>
  </si>
  <si>
    <t xml:space="preserve">40–250 zł/mies.; 0 zł, jeśli siedziba w lokalu wspólnika.</t>
  </si>
  <si>
    <t xml:space="preserve">ZUS i składka zdrowotna jedynego wspólnika</t>
  </si>
  <si>
    <t xml:space="preserve">1 788,29 zł ZUS + 830,58 zł zdrowotna w 2026 (norman.finance). Tylko przy jednym wspólniku.</t>
  </si>
  <si>
    <t xml:space="preserve">Ubezpieczenie cyber (1/12 składki rocznej)</t>
  </si>
  <si>
    <t xml:space="preserve">Mikrofirmy: 1 000–3 000 zł rocznie (freenance.io). W pilocie tylko dane testowe – bez polisy.</t>
  </si>
  <si>
    <t xml:space="preserve">Telefon opiekuna 24/7 (abonament)</t>
  </si>
  <si>
    <t xml:space="preserve">Operacje</t>
  </si>
  <si>
    <t xml:space="preserve">Osobny numer, który można przekierować na dyżurnego.</t>
  </si>
  <si>
    <t xml:space="preserve">Opiekun nocny – ryczałt za dyżur pod telefonem</t>
  </si>
  <si>
    <t xml:space="preserve">W pilocie dyżurują wspólnicy. Kwota do ustalenia z osobą na umowie zlecenia.</t>
  </si>
  <si>
    <t xml:space="preserve">Dojazdy do zakładów (wdrożenie, szkolenia)</t>
  </si>
  <si>
    <t xml:space="preserve">Sprzedaż</t>
  </si>
  <si>
    <t xml:space="preserve">Pilot: Łódź; start: 2–3 miasta.</t>
  </si>
  <si>
    <t xml:space="preserve">Reklama dla rodzin (Google Ads)</t>
  </si>
  <si>
    <t xml:space="preserve">Marketing</t>
  </si>
  <si>
    <t xml:space="preserve">Budżet do ustalenia. Google nie publikuje cennika – koszt kliknięcia zależy od aukcji i miasta.</t>
  </si>
  <si>
    <t xml:space="preserve">Dodruk materiałów dla zakładów</t>
  </si>
  <si>
    <t xml:space="preserve">Razem miesięcznie</t>
  </si>
  <si>
    <t xml:space="preserve">Według kategorii</t>
  </si>
  <si>
    <t xml:space="preserve">Kontrola: suma kategorii = razem</t>
  </si>
  <si>
    <t xml:space="preserve">Źródła cen (sprawdzone 15–16.10.2026)</t>
  </si>
  <si>
    <t xml:space="preserve">Kurs NBP USD/PLN 16.10.2026</t>
  </si>
  <si>
    <t xml:space="preserve">https://comparic.pl/dolar-kolejny-dzien-mocno-traci-co-dzieje-sie-z-kursami-dolara-euro-franka-i-funta-16-10-2026/</t>
  </si>
  <si>
    <t xml:space="preserve">Supabase – cennik planów 2026</t>
  </si>
  <si>
    <t xml:space="preserve">https://makerkit.dev/blog/md/saas/supabase-pricing</t>
  </si>
  <si>
    <t xml:space="preserve">Vercel – cennik 2026</t>
  </si>
  <si>
    <t xml:space="preserve">https://makerkit.dev/blog/saas/vercel-cost</t>
  </si>
  <si>
    <t xml:space="preserve">SMSAPI – cennik</t>
  </si>
  <si>
    <t xml:space="preserve">https://www.smsapi.pl/cennik</t>
  </si>
  <si>
    <t xml:space="preserve">Założenie sp. z o.o. – S24 i notariusz (2026)</t>
  </si>
  <si>
    <t xml:space="preserve">https://norman.finance/pl/blog/jak-zalozyc-spolke-z-o-o</t>
  </si>
  <si>
    <t xml:space="preserve">Koszty prowadzenia sp. z o.o. miesięcznie (2026)</t>
  </si>
  <si>
    <t xml:space="preserve">https://norman.finance/pl/blog/ile-kosztuje-prowadzenie-spolki-z-o-o</t>
  </si>
  <si>
    <t xml:space="preserve">Opłaty za znak towarowy w UPRP</t>
  </si>
  <si>
    <t xml:space="preserve">https://poradnikprzedsiebiorcy.pl/-oplaty-za-rejestracje-znaku-towarowego-ile-wynosza</t>
  </si>
  <si>
    <t xml:space="preserve">Domena .pl – OVHcloud</t>
  </si>
  <si>
    <t xml:space="preserve">https://www.ovhcloud.com/pl/domains/tld/pl/</t>
  </si>
  <si>
    <t xml:space="preserve">Google Workspace – ceny w złotych</t>
  </si>
  <si>
    <t xml:space="preserve">https://antyweb.pl/google-miesza-z-cenami-tlumaczymy-nowy-cennik</t>
  </si>
  <si>
    <t xml:space="preserve">Brevo – plany i limity (2026)</t>
  </si>
  <si>
    <t xml:space="preserve">https://toolquestor.com/pl/tool/brevo</t>
  </si>
  <si>
    <t xml:space="preserve">Supabase – wbudowana poczta tylko dla członków zespołu (własny SMTP)</t>
  </si>
  <si>
    <t xml:space="preserve">https://supabase.com/docs/guides/auth/auth-smtp</t>
  </si>
  <si>
    <t xml:space="preserve">Claude Max – cena</t>
  </si>
  <si>
    <t xml:space="preserve">https://support.claude.com/en/articles/11049744-how-much-does-the-max-plan-cost</t>
  </si>
  <si>
    <t xml:space="preserve">Claude Pro – cena</t>
  </si>
  <si>
    <t xml:space="preserve">https://support.claude.com/en/articles/8325606</t>
  </si>
  <si>
    <t xml:space="preserve">Ubezpieczenie cyber 2026 – widełki</t>
  </si>
  <si>
    <t xml:space="preserve">https://freenance.io/ubezpieczenia/ubezpieczenie-cyber-2026-poland-koszt-firma-hacking-ransomware-rodo-procedura/</t>
  </si>
  <si>
    <t xml:space="preserve">Google Ads – jak naliczany jest koszt</t>
  </si>
  <si>
    <t xml:space="preserve">https://business.google.com/pl/resources/articles/google-ads-cost/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</si>
</sst>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##;\(#,##0.##\);\-"/>
    <numFmt numFmtId="166" formatCode="#,##0&quot; zł&quot;;\(#,##0&quot; zł)&quot;;\-"/>
    <numFmt numFmtId="167" formatCode="0.0"/>
    <numFmt numFmtId="168" formatCode="0.0000"/>
    <numFmt numFmtId="169" formatCode="#,##0.00&quot; zł&quot;;\(#,##0.00&quot; zł)&quot;;\-"/>
    <numFmt numFmtId="170" formatCode="#,##0.00&quot; USD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3F565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6EAE8"/>
        <bgColor rgb="FFF1ECE2"/>
      </patternFill>
    </fill>
    <fill>
      <patternFill patternType="solid">
        <fgColor rgb="FFF1ECE2"/>
        <bgColor rgb="FFE6EAE8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A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ECE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5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comparic.pl/dolar-kolejny-dzien-mocno-traci-co-dzieje-sie-z-kursami-dolara-euro-franka-i-funta-16-10-2026/" TargetMode="External"/><Relationship Id="rId2" Type="http://schemas.openxmlformats.org/officeDocument/2006/relationships/hyperlink" Target="https://makerkit.dev/blog/md/saas/supabase-pricing" TargetMode="External"/><Relationship Id="rId3" Type="http://schemas.openxmlformats.org/officeDocument/2006/relationships/hyperlink" Target="https://makerkit.dev/blog/saas/vercel-cost" TargetMode="External"/><Relationship Id="rId4" Type="http://schemas.openxmlformats.org/officeDocument/2006/relationships/hyperlink" Target="https://www.smsapi.pl/cennik" TargetMode="External"/><Relationship Id="rId5" Type="http://schemas.openxmlformats.org/officeDocument/2006/relationships/hyperlink" Target="https://norman.finance/pl/blog/jak-zalozyc-spolke-z-o-o" TargetMode="External"/><Relationship Id="rId6" Type="http://schemas.openxmlformats.org/officeDocument/2006/relationships/hyperlink" Target="https://norman.finance/pl/blog/ile-kosztuje-prowadzenie-spolki-z-o-o" TargetMode="External"/><Relationship Id="rId7" Type="http://schemas.openxmlformats.org/officeDocument/2006/relationships/hyperlink" Target="https://poradnikprzedsiebiorcy.pl/-oplaty-za-rejestracje-znaku-towarowego-ile-wynosza" TargetMode="External"/><Relationship Id="rId8" Type="http://schemas.openxmlformats.org/officeDocument/2006/relationships/hyperlink" Target="https://www.ovhcloud.com/pl/domains/tld/pl/" TargetMode="External"/><Relationship Id="rId9" Type="http://schemas.openxmlformats.org/officeDocument/2006/relationships/hyperlink" Target="https://antyweb.pl/google-miesza-z-cenami-tlumaczymy-nowy-cennik" TargetMode="External"/><Relationship Id="rId10" Type="http://schemas.openxmlformats.org/officeDocument/2006/relationships/hyperlink" Target="https://toolquestor.com/pl/tool/brevo" TargetMode="External"/><Relationship Id="rId11" Type="http://schemas.openxmlformats.org/officeDocument/2006/relationships/hyperlink" Target="https://supabase.com/docs/guides/auth/auth-smtp" TargetMode="External"/><Relationship Id="rId12" Type="http://schemas.openxmlformats.org/officeDocument/2006/relationships/hyperlink" Target="https://support.claude.com/en/articles/11049744-how-much-does-the-max-plan-cost" TargetMode="External"/><Relationship Id="rId13" Type="http://schemas.openxmlformats.org/officeDocument/2006/relationships/hyperlink" Target="https://support.claude.com/en/articles/8325606" TargetMode="External"/><Relationship Id="rId14" Type="http://schemas.openxmlformats.org/officeDocument/2006/relationships/hyperlink" Target="https://freenance.io/ubezpieczenia/ubezpieczenie-cyber-2026-poland-koszt-firma-hacking-ransomware-rodo-procedura/" TargetMode="External"/><Relationship Id="rId15" Type="http://schemas.openxmlformats.org/officeDocument/2006/relationships/hyperlink" Target="https://business.google.com/pl/resources/articles/google-ads-cos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/>
      <c r="B4" s="4" t="s">
        <v>2</v>
      </c>
      <c r="C4" s="4" t="s">
        <v>3</v>
      </c>
      <c r="D4" s="4" t="s">
        <v>4</v>
      </c>
    </row>
    <row r="5" customFormat="false" ht="15" hidden="false" customHeight="false" outlineLevel="0" collapsed="false">
      <c r="A5" s="5" t="s">
        <v>5</v>
      </c>
      <c r="B5" s="6" t="n">
        <f aca="false">Założenia!B6</f>
        <v>3</v>
      </c>
      <c r="C5" s="6" t="n">
        <f aca="false">Założenia!C6</f>
        <v>12</v>
      </c>
      <c r="D5" s="5" t="s">
        <v>6</v>
      </c>
    </row>
    <row r="6" customFormat="false" ht="15" hidden="false" customHeight="false" outlineLevel="0" collapsed="false">
      <c r="A6" s="5" t="s">
        <v>7</v>
      </c>
      <c r="B6" s="7" t="n">
        <f aca="false">Jednorazowe!$C$17</f>
        <v>13570.69</v>
      </c>
      <c r="C6" s="7" t="n">
        <f aca="false">Jednorazowe!$C$18</f>
        <v>8000</v>
      </c>
      <c r="D6" s="5" t="s">
        <v>8</v>
      </c>
    </row>
    <row r="7" customFormat="false" ht="15" hidden="false" customHeight="false" outlineLevel="0" collapsed="false">
      <c r="A7" s="5" t="s">
        <v>9</v>
      </c>
      <c r="B7" s="7" t="n">
        <f aca="false">Miesięczne!$G$27</f>
        <v>3509.5915</v>
      </c>
      <c r="C7" s="7" t="n">
        <f aca="false">Miesięczne!$H$27</f>
        <v>9819.501</v>
      </c>
      <c r="D7" s="5" t="s">
        <v>10</v>
      </c>
    </row>
    <row r="8" customFormat="false" ht="15" hidden="false" customHeight="false" outlineLevel="0" collapsed="false">
      <c r="A8" s="8" t="s">
        <v>11</v>
      </c>
      <c r="B8" s="9" t="n">
        <f aca="false">B6+B7*B5</f>
        <v>24099.4645</v>
      </c>
      <c r="C8" s="9" t="n">
        <f aca="false">C6+C7*C5</f>
        <v>125834.012</v>
      </c>
      <c r="D8" s="10" t="s">
        <v>12</v>
      </c>
    </row>
    <row r="9" customFormat="false" ht="15" hidden="false" customHeight="false" outlineLevel="0" collapsed="false">
      <c r="A9" s="5" t="s">
        <v>13</v>
      </c>
      <c r="B9" s="6" t="n">
        <f aca="false">Założenia!B9</f>
        <v>10</v>
      </c>
      <c r="C9" s="6" t="n">
        <f aca="false">Założenia!C9</f>
        <v>60</v>
      </c>
      <c r="D9" s="5" t="s">
        <v>14</v>
      </c>
    </row>
    <row r="10" customFormat="false" ht="15" hidden="false" customHeight="false" outlineLevel="0" collapsed="false">
      <c r="A10" s="5" t="s">
        <v>15</v>
      </c>
      <c r="B10" s="7" t="n">
        <f aca="false">B9*Założenia!B16</f>
        <v>2500</v>
      </c>
      <c r="C10" s="7" t="n">
        <f aca="false">C9*Założenia!C16</f>
        <v>15000</v>
      </c>
      <c r="D10" s="5" t="s">
        <v>16</v>
      </c>
    </row>
    <row r="11" customFormat="false" ht="15" hidden="false" customHeight="false" outlineLevel="0" collapsed="false">
      <c r="A11" s="8" t="s">
        <v>17</v>
      </c>
      <c r="B11" s="9" t="n">
        <f aca="false">B10-B7</f>
        <v>-1009.5915</v>
      </c>
      <c r="C11" s="9" t="n">
        <f aca="false">C10-C7</f>
        <v>5180.499</v>
      </c>
      <c r="D11" s="10" t="s">
        <v>18</v>
      </c>
    </row>
    <row r="12" customFormat="false" ht="15" hidden="false" customHeight="false" outlineLevel="0" collapsed="false">
      <c r="A12" s="5" t="s">
        <v>19</v>
      </c>
      <c r="B12" s="6" t="n">
        <f aca="false">ROUNDUP(B7/Założenia!B16,0)</f>
        <v>15</v>
      </c>
      <c r="C12" s="6" t="n">
        <f aca="false">ROUNDUP(C7/Założenia!C16,0)</f>
        <v>40</v>
      </c>
      <c r="D12" s="5" t="s">
        <v>20</v>
      </c>
    </row>
    <row r="13" customFormat="false" ht="15" hidden="false" customHeight="false" outlineLevel="0" collapsed="false">
      <c r="A13" s="5" t="s">
        <v>21</v>
      </c>
      <c r="B13" s="11" t="n">
        <f aca="false">IF(Założenia!B7=0,0,B12/Założenia!B7)</f>
        <v>3</v>
      </c>
      <c r="C13" s="11" t="n">
        <f aca="false">IF(Założenia!C7=0,0,C12/Założenia!C7)</f>
        <v>1.6</v>
      </c>
      <c r="D13" s="5" t="s">
        <v>22</v>
      </c>
    </row>
    <row r="14" customFormat="false" ht="15" hidden="false" customHeight="false" outlineLevel="0" collapsed="false">
      <c r="A14" s="8" t="s">
        <v>23</v>
      </c>
      <c r="B14" s="12" t="n">
        <f aca="false">B6+Jednorazowe!$C$20+B7*B5-B10*B5</f>
        <v>21599.4645</v>
      </c>
      <c r="C14" s="9"/>
      <c r="D14" s="10" t="s">
        <v>24</v>
      </c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false" outlineLevel="0" collapsed="false">
      <c r="A16" s="13" t="s">
        <v>25</v>
      </c>
      <c r="B16" s="2"/>
      <c r="C16" s="2"/>
      <c r="D16" s="2"/>
    </row>
    <row r="17" customFormat="false" ht="15" hidden="false" customHeight="false" outlineLevel="0" collapsed="false">
      <c r="A17" s="5" t="s">
        <v>26</v>
      </c>
      <c r="B17" s="2"/>
      <c r="C17" s="2"/>
      <c r="D17" s="2"/>
    </row>
    <row r="18" customFormat="false" ht="15" hidden="false" customHeight="false" outlineLevel="0" collapsed="false">
      <c r="A18" s="5" t="s">
        <v>27</v>
      </c>
      <c r="B18" s="2"/>
      <c r="C18" s="2"/>
      <c r="D18" s="2"/>
    </row>
    <row r="19" customFormat="false" ht="15" hidden="false" customHeight="false" outlineLevel="0" collapsed="false">
      <c r="A19" s="5" t="s">
        <v>28</v>
      </c>
      <c r="B19" s="2"/>
      <c r="C19" s="2"/>
      <c r="D19" s="2"/>
    </row>
    <row r="20" customFormat="false" ht="15" hidden="false" customHeight="false" outlineLevel="0" collapsed="false">
      <c r="A20" s="5" t="s">
        <v>29</v>
      </c>
      <c r="B20" s="2"/>
      <c r="C20" s="2"/>
      <c r="D20" s="2"/>
    </row>
    <row r="21" customFormat="false" ht="15" hidden="false" customHeight="false" outlineLevel="0" collapsed="false">
      <c r="A21" s="5" t="s">
        <v>30</v>
      </c>
      <c r="B21" s="2"/>
      <c r="C21" s="2"/>
      <c r="D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10"/>
  </cols>
  <sheetData>
    <row r="1" customFormat="false" ht="17.35" hidden="false" customHeight="false" outlineLevel="0" collapsed="false">
      <c r="A1" s="1" t="s">
        <v>31</v>
      </c>
      <c r="B1" s="2"/>
      <c r="C1" s="2"/>
      <c r="D1" s="2"/>
      <c r="E1" s="2"/>
    </row>
    <row r="2" customFormat="false" ht="15" hidden="false" customHeight="false" outlineLevel="0" collapsed="false">
      <c r="A2" s="3" t="s">
        <v>32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33</v>
      </c>
      <c r="B4" s="4" t="s">
        <v>2</v>
      </c>
      <c r="C4" s="4" t="s">
        <v>3</v>
      </c>
      <c r="D4" s="4" t="s">
        <v>34</v>
      </c>
      <c r="E4" s="4" t="s">
        <v>35</v>
      </c>
    </row>
    <row r="5" customFormat="false" ht="15" hidden="false" customHeight="false" outlineLevel="0" collapsed="false">
      <c r="A5" s="5" t="s">
        <v>36</v>
      </c>
      <c r="B5" s="14" t="n">
        <v>3.8827</v>
      </c>
      <c r="C5" s="14" t="n">
        <v>3.8827</v>
      </c>
      <c r="D5" s="5" t="s">
        <v>37</v>
      </c>
      <c r="E5" s="5" t="s">
        <v>38</v>
      </c>
    </row>
    <row r="6" customFormat="false" ht="15" hidden="false" customHeight="false" outlineLevel="0" collapsed="false">
      <c r="A6" s="5" t="s">
        <v>39</v>
      </c>
      <c r="B6" s="15" t="n">
        <v>3</v>
      </c>
      <c r="C6" s="15" t="n">
        <v>12</v>
      </c>
      <c r="D6" s="5" t="s">
        <v>40</v>
      </c>
      <c r="E6" s="5" t="s">
        <v>41</v>
      </c>
    </row>
    <row r="7" customFormat="false" ht="15" hidden="false" customHeight="false" outlineLevel="0" collapsed="false">
      <c r="A7" s="5" t="s">
        <v>42</v>
      </c>
      <c r="B7" s="16" t="n">
        <v>5</v>
      </c>
      <c r="C7" s="16" t="n">
        <v>25</v>
      </c>
      <c r="D7" s="5" t="s">
        <v>43</v>
      </c>
      <c r="E7" s="5" t="s">
        <v>44</v>
      </c>
    </row>
    <row r="8" customFormat="false" ht="15" hidden="false" customHeight="false" outlineLevel="0" collapsed="false">
      <c r="A8" s="5" t="s">
        <v>45</v>
      </c>
      <c r="B8" s="16" t="n">
        <v>2</v>
      </c>
      <c r="C8" s="16" t="n">
        <v>2.4</v>
      </c>
      <c r="D8" s="5" t="s">
        <v>46</v>
      </c>
      <c r="E8" s="5" t="s">
        <v>47</v>
      </c>
    </row>
    <row r="9" customFormat="false" ht="15" hidden="false" customHeight="false" outlineLevel="0" collapsed="false">
      <c r="A9" s="5" t="s">
        <v>48</v>
      </c>
      <c r="B9" s="17" t="n">
        <f aca="false">B7*B8</f>
        <v>10</v>
      </c>
      <c r="C9" s="17" t="n">
        <f aca="false">C7*C8</f>
        <v>60</v>
      </c>
      <c r="D9" s="5" t="s">
        <v>46</v>
      </c>
      <c r="E9" s="5" t="s">
        <v>49</v>
      </c>
    </row>
    <row r="10" customFormat="false" ht="15" hidden="false" customHeight="false" outlineLevel="0" collapsed="false">
      <c r="A10" s="5" t="s">
        <v>50</v>
      </c>
      <c r="B10" s="15" t="n">
        <v>2</v>
      </c>
      <c r="C10" s="15" t="n">
        <v>2</v>
      </c>
      <c r="D10" s="5" t="s">
        <v>51</v>
      </c>
      <c r="E10" s="5" t="s">
        <v>52</v>
      </c>
    </row>
    <row r="11" customFormat="false" ht="15" hidden="false" customHeight="false" outlineLevel="0" collapsed="false">
      <c r="A11" s="5" t="s">
        <v>53</v>
      </c>
      <c r="B11" s="15" t="n">
        <v>2</v>
      </c>
      <c r="C11" s="15" t="n">
        <v>2</v>
      </c>
      <c r="D11" s="5" t="s">
        <v>54</v>
      </c>
      <c r="E11" s="5" t="s">
        <v>55</v>
      </c>
    </row>
    <row r="12" customFormat="false" ht="15" hidden="false" customHeight="false" outlineLevel="0" collapsed="false">
      <c r="A12" s="5" t="s">
        <v>56</v>
      </c>
      <c r="B12" s="15" t="n">
        <v>3</v>
      </c>
      <c r="C12" s="15" t="n">
        <v>3</v>
      </c>
      <c r="D12" s="5" t="s">
        <v>57</v>
      </c>
      <c r="E12" s="5" t="s">
        <v>58</v>
      </c>
    </row>
    <row r="13" customFormat="false" ht="15" hidden="false" customHeight="false" outlineLevel="0" collapsed="false">
      <c r="A13" s="5" t="s">
        <v>59</v>
      </c>
      <c r="B13" s="15" t="n">
        <v>0.17</v>
      </c>
      <c r="C13" s="17" t="n">
        <f aca="false">B13</f>
        <v>0.17</v>
      </c>
      <c r="D13" s="5" t="s">
        <v>60</v>
      </c>
      <c r="E13" s="5" t="s">
        <v>61</v>
      </c>
    </row>
    <row r="14" customFormat="false" ht="15" hidden="false" customHeight="false" outlineLevel="0" collapsed="false">
      <c r="A14" s="5" t="s">
        <v>62</v>
      </c>
      <c r="B14" s="15" t="n">
        <v>2</v>
      </c>
      <c r="C14" s="15" t="n">
        <v>3</v>
      </c>
      <c r="D14" s="5" t="s">
        <v>63</v>
      </c>
      <c r="E14" s="5" t="s">
        <v>64</v>
      </c>
    </row>
    <row r="15" customFormat="false" ht="15" hidden="false" customHeight="false" outlineLevel="0" collapsed="false">
      <c r="A15" s="5" t="s">
        <v>65</v>
      </c>
      <c r="B15" s="16" t="n">
        <v>0</v>
      </c>
      <c r="C15" s="16" t="n">
        <v>0</v>
      </c>
      <c r="D15" s="5"/>
      <c r="E15" s="5" t="s">
        <v>66</v>
      </c>
    </row>
    <row r="16" customFormat="false" ht="15" hidden="false" customHeight="false" outlineLevel="0" collapsed="false">
      <c r="A16" s="5" t="s">
        <v>67</v>
      </c>
      <c r="B16" s="16" t="n">
        <v>250</v>
      </c>
      <c r="C16" s="16" t="n">
        <v>250</v>
      </c>
      <c r="D16" s="5" t="s">
        <v>68</v>
      </c>
      <c r="E16" s="5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10"/>
    <col collapsed="false" customWidth="true" hidden="false" outlineLevel="0" max="6" min="6" style="0" width="9"/>
  </cols>
  <sheetData>
    <row r="1" customFormat="false" ht="17.35" hidden="false" customHeight="false" outlineLevel="0" collapsed="false">
      <c r="A1" s="1" t="s">
        <v>70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71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72</v>
      </c>
      <c r="B4" s="4" t="s">
        <v>73</v>
      </c>
      <c r="C4" s="4" t="s">
        <v>74</v>
      </c>
      <c r="D4" s="4" t="s">
        <v>75</v>
      </c>
      <c r="E4" s="4" t="s">
        <v>35</v>
      </c>
      <c r="F4" s="4" t="s">
        <v>76</v>
      </c>
    </row>
    <row r="5" customFormat="false" ht="15" hidden="false" customHeight="false" outlineLevel="0" collapsed="false">
      <c r="A5" s="5" t="s">
        <v>77</v>
      </c>
      <c r="B5" s="5" t="s">
        <v>78</v>
      </c>
      <c r="C5" s="18" t="n">
        <v>274</v>
      </c>
      <c r="D5" s="5" t="s">
        <v>79</v>
      </c>
      <c r="E5" s="5" t="s">
        <v>80</v>
      </c>
      <c r="F5" s="19" t="s">
        <v>2</v>
      </c>
    </row>
    <row r="6" customFormat="false" ht="15" hidden="false" customHeight="false" outlineLevel="0" collapsed="false">
      <c r="A6" s="5" t="s">
        <v>81</v>
      </c>
      <c r="B6" s="5" t="s">
        <v>82</v>
      </c>
      <c r="C6" s="18" t="n">
        <v>400</v>
      </c>
      <c r="D6" s="5" t="s">
        <v>79</v>
      </c>
      <c r="E6" s="5" t="s">
        <v>83</v>
      </c>
      <c r="F6" s="19" t="s">
        <v>2</v>
      </c>
    </row>
    <row r="7" customFormat="false" ht="15" hidden="false" customHeight="false" outlineLevel="0" collapsed="false">
      <c r="A7" s="5" t="s">
        <v>84</v>
      </c>
      <c r="B7" s="5" t="s">
        <v>82</v>
      </c>
      <c r="C7" s="20" t="n">
        <f aca="false">2*120</f>
        <v>240</v>
      </c>
      <c r="D7" s="5" t="s">
        <v>79</v>
      </c>
      <c r="E7" s="5" t="s">
        <v>85</v>
      </c>
      <c r="F7" s="19" t="s">
        <v>2</v>
      </c>
    </row>
    <row r="8" customFormat="false" ht="15" hidden="false" customHeight="false" outlineLevel="0" collapsed="false">
      <c r="A8" s="5" t="s">
        <v>86</v>
      </c>
      <c r="B8" s="5" t="s">
        <v>82</v>
      </c>
      <c r="C8" s="20" t="n">
        <f aca="false">3*400</f>
        <v>1200</v>
      </c>
      <c r="D8" s="5" t="s">
        <v>79</v>
      </c>
      <c r="E8" s="5" t="s">
        <v>87</v>
      </c>
      <c r="F8" s="19" t="s">
        <v>2</v>
      </c>
    </row>
    <row r="9" customFormat="false" ht="15" hidden="false" customHeight="false" outlineLevel="0" collapsed="false">
      <c r="A9" s="5" t="s">
        <v>88</v>
      </c>
      <c r="B9" s="5" t="s">
        <v>82</v>
      </c>
      <c r="C9" s="18" t="n">
        <v>90</v>
      </c>
      <c r="D9" s="5" t="s">
        <v>79</v>
      </c>
      <c r="E9" s="5" t="s">
        <v>89</v>
      </c>
      <c r="F9" s="19" t="s">
        <v>2</v>
      </c>
    </row>
    <row r="10" customFormat="false" ht="15" hidden="false" customHeight="false" outlineLevel="0" collapsed="false">
      <c r="A10" s="5" t="s">
        <v>90</v>
      </c>
      <c r="B10" s="5" t="s">
        <v>91</v>
      </c>
      <c r="C10" s="18" t="n">
        <v>6000</v>
      </c>
      <c r="D10" s="5" t="s">
        <v>92</v>
      </c>
      <c r="E10" s="5" t="s">
        <v>93</v>
      </c>
      <c r="F10" s="19" t="s">
        <v>2</v>
      </c>
    </row>
    <row r="11" customFormat="false" ht="15" hidden="false" customHeight="false" outlineLevel="0" collapsed="false">
      <c r="A11" s="5" t="s">
        <v>94</v>
      </c>
      <c r="B11" s="5" t="s">
        <v>91</v>
      </c>
      <c r="C11" s="18" t="n">
        <v>5000</v>
      </c>
      <c r="D11" s="5" t="s">
        <v>92</v>
      </c>
      <c r="E11" s="5" t="s">
        <v>95</v>
      </c>
      <c r="F11" s="19" t="s">
        <v>2</v>
      </c>
    </row>
    <row r="12" customFormat="false" ht="15" hidden="false" customHeight="false" outlineLevel="0" collapsed="false">
      <c r="A12" s="5" t="s">
        <v>96</v>
      </c>
      <c r="B12" s="5" t="s">
        <v>97</v>
      </c>
      <c r="C12" s="18" t="n">
        <v>16.69</v>
      </c>
      <c r="D12" s="5" t="s">
        <v>79</v>
      </c>
      <c r="E12" s="5" t="s">
        <v>98</v>
      </c>
      <c r="F12" s="19" t="s">
        <v>2</v>
      </c>
    </row>
    <row r="13" customFormat="false" ht="15" hidden="false" customHeight="false" outlineLevel="0" collapsed="false">
      <c r="A13" s="5" t="s">
        <v>99</v>
      </c>
      <c r="B13" s="5" t="s">
        <v>100</v>
      </c>
      <c r="C13" s="18" t="n">
        <v>150</v>
      </c>
      <c r="D13" s="5" t="s">
        <v>92</v>
      </c>
      <c r="E13" s="5" t="s">
        <v>101</v>
      </c>
      <c r="F13" s="19" t="s">
        <v>2</v>
      </c>
    </row>
    <row r="14" customFormat="false" ht="15" hidden="false" customHeight="false" outlineLevel="0" collapsed="false">
      <c r="A14" s="5" t="s">
        <v>102</v>
      </c>
      <c r="B14" s="5" t="s">
        <v>100</v>
      </c>
      <c r="C14" s="18" t="n">
        <v>200</v>
      </c>
      <c r="D14" s="5" t="s">
        <v>92</v>
      </c>
      <c r="E14" s="5" t="s">
        <v>103</v>
      </c>
      <c r="F14" s="19" t="s">
        <v>2</v>
      </c>
    </row>
    <row r="15" customFormat="false" ht="15" hidden="false" customHeight="false" outlineLevel="0" collapsed="false">
      <c r="A15" s="5" t="s">
        <v>104</v>
      </c>
      <c r="B15" s="5" t="s">
        <v>91</v>
      </c>
      <c r="C15" s="18" t="n">
        <v>8000</v>
      </c>
      <c r="D15" s="5" t="s">
        <v>92</v>
      </c>
      <c r="E15" s="5" t="s">
        <v>105</v>
      </c>
      <c r="F15" s="19" t="s">
        <v>3</v>
      </c>
    </row>
    <row r="16" customFormat="false" ht="15" hidden="false" customHeight="false" outlineLevel="0" collapsed="false">
      <c r="A16" s="8" t="s">
        <v>106</v>
      </c>
      <c r="B16" s="21"/>
      <c r="C16" s="22" t="n">
        <f aca="false">SUM(C5:C15)</f>
        <v>21570.69</v>
      </c>
      <c r="D16" s="21"/>
      <c r="E16" s="21"/>
      <c r="F16" s="21"/>
    </row>
    <row r="17" customFormat="false" ht="15" hidden="false" customHeight="false" outlineLevel="0" collapsed="false">
      <c r="A17" s="5" t="s">
        <v>107</v>
      </c>
      <c r="B17" s="2"/>
      <c r="C17" s="20" t="n">
        <f aca="false">SUMIFS(C5:C15,F5:F15,"Pilot")</f>
        <v>13570.69</v>
      </c>
      <c r="D17" s="2"/>
      <c r="E17" s="2"/>
      <c r="F17" s="2"/>
    </row>
    <row r="18" customFormat="false" ht="15" hidden="false" customHeight="false" outlineLevel="0" collapsed="false">
      <c r="A18" s="5" t="s">
        <v>108</v>
      </c>
      <c r="B18" s="2"/>
      <c r="C18" s="20" t="n">
        <f aca="false">SUMIFS(C5:C15,F5:F15,"Start")</f>
        <v>8000</v>
      </c>
      <c r="D18" s="2"/>
      <c r="E18" s="5" t="s">
        <v>109</v>
      </c>
      <c r="F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</row>
    <row r="20" customFormat="false" ht="15" hidden="false" customHeight="false" outlineLevel="0" collapsed="false">
      <c r="A20" s="5" t="s">
        <v>110</v>
      </c>
      <c r="B20" s="2"/>
      <c r="C20" s="23" t="n">
        <v>5000</v>
      </c>
      <c r="D20" s="2"/>
      <c r="E20" s="5" t="s">
        <v>111</v>
      </c>
      <c r="F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8" min="7" style="0" width="15"/>
    <col collapsed="false" customWidth="true" hidden="false" outlineLevel="0" max="9" min="9" style="0" width="10"/>
    <col collapsed="false" customWidth="true" hidden="false" outlineLevel="0" max="10" min="10" style="0" width="100"/>
  </cols>
  <sheetData>
    <row r="1" customFormat="false" ht="17.35" hidden="false" customHeight="false" outlineLevel="0" collapsed="false">
      <c r="A1" s="1" t="s">
        <v>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112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72</v>
      </c>
      <c r="B4" s="4" t="s">
        <v>73</v>
      </c>
      <c r="C4" s="4" t="s">
        <v>113</v>
      </c>
      <c r="D4" s="4" t="s">
        <v>114</v>
      </c>
      <c r="E4" s="4" t="s">
        <v>115</v>
      </c>
      <c r="F4" s="4" t="s">
        <v>116</v>
      </c>
      <c r="G4" s="4" t="s">
        <v>117</v>
      </c>
      <c r="H4" s="4" t="s">
        <v>118</v>
      </c>
      <c r="I4" s="4" t="s">
        <v>75</v>
      </c>
      <c r="J4" s="4" t="s">
        <v>35</v>
      </c>
    </row>
    <row r="5" customFormat="false" ht="15" hidden="false" customHeight="false" outlineLevel="0" collapsed="false">
      <c r="A5" s="5" t="s">
        <v>119</v>
      </c>
      <c r="B5" s="5" t="s">
        <v>97</v>
      </c>
      <c r="C5" s="24" t="n">
        <v>25</v>
      </c>
      <c r="D5" s="5" t="s">
        <v>120</v>
      </c>
      <c r="E5" s="15" t="n">
        <v>1</v>
      </c>
      <c r="F5" s="15" t="n">
        <v>1</v>
      </c>
      <c r="G5" s="20" t="n">
        <f aca="false">IF($D5="USD",$C5*Założenia!$B$5,$C5)*E5</f>
        <v>97.0675</v>
      </c>
      <c r="H5" s="20" t="n">
        <f aca="false">IF($D5="USD",$C5*Założenia!$B$5,$C5)*F5</f>
        <v>97.0675</v>
      </c>
      <c r="I5" s="5" t="s">
        <v>79</v>
      </c>
      <c r="J5" s="5" t="s">
        <v>121</v>
      </c>
    </row>
    <row r="6" customFormat="false" ht="15" hidden="false" customHeight="false" outlineLevel="0" collapsed="false">
      <c r="A6" s="5" t="s">
        <v>122</v>
      </c>
      <c r="B6" s="5" t="s">
        <v>97</v>
      </c>
      <c r="C6" s="24" t="n">
        <v>10</v>
      </c>
      <c r="D6" s="5" t="s">
        <v>120</v>
      </c>
      <c r="E6" s="15" t="n">
        <v>0</v>
      </c>
      <c r="F6" s="15" t="n">
        <v>1</v>
      </c>
      <c r="G6" s="20" t="n">
        <f aca="false">IF($D6="USD",$C6*Założenia!$B$5,$C6)*E6</f>
        <v>0</v>
      </c>
      <c r="H6" s="20" t="n">
        <f aca="false">IF($D6="USD",$C6*Założenia!$B$5,$C6)*F6</f>
        <v>38.827</v>
      </c>
      <c r="I6" s="5" t="s">
        <v>79</v>
      </c>
      <c r="J6" s="5" t="s">
        <v>123</v>
      </c>
    </row>
    <row r="7" customFormat="false" ht="15" hidden="false" customHeight="false" outlineLevel="0" collapsed="false">
      <c r="A7" s="5" t="s">
        <v>124</v>
      </c>
      <c r="B7" s="5" t="s">
        <v>97</v>
      </c>
      <c r="C7" s="24" t="n">
        <v>20</v>
      </c>
      <c r="D7" s="5" t="s">
        <v>120</v>
      </c>
      <c r="E7" s="15" t="n">
        <v>1</v>
      </c>
      <c r="F7" s="15" t="n">
        <v>1</v>
      </c>
      <c r="G7" s="20" t="n">
        <f aca="false">IF($D7="USD",$C7*Założenia!$B$5,$C7)*E7</f>
        <v>77.654</v>
      </c>
      <c r="H7" s="20" t="n">
        <f aca="false">IF($D7="USD",$C7*Założenia!$B$5,$C7)*F7</f>
        <v>77.654</v>
      </c>
      <c r="I7" s="5" t="s">
        <v>79</v>
      </c>
      <c r="J7" s="5" t="s">
        <v>125</v>
      </c>
    </row>
    <row r="8" customFormat="false" ht="15" hidden="false" customHeight="false" outlineLevel="0" collapsed="false">
      <c r="A8" s="5" t="s">
        <v>126</v>
      </c>
      <c r="B8" s="5" t="s">
        <v>97</v>
      </c>
      <c r="C8" s="20" t="n">
        <f aca="false">58.99/12</f>
        <v>4.91583333333333</v>
      </c>
      <c r="D8" s="5" t="s">
        <v>127</v>
      </c>
      <c r="E8" s="15" t="n">
        <v>0</v>
      </c>
      <c r="F8" s="15" t="n">
        <v>1</v>
      </c>
      <c r="G8" s="20" t="n">
        <f aca="false">IF($D8="USD",$C8*Założenia!$B$5,$C8)*E8</f>
        <v>0</v>
      </c>
      <c r="H8" s="20" t="n">
        <f aca="false">IF($D8="USD",$C8*Założenia!$B$5,$C8)*F8</f>
        <v>4.91583333333333</v>
      </c>
      <c r="I8" s="5" t="s">
        <v>79</v>
      </c>
      <c r="J8" s="5" t="s">
        <v>128</v>
      </c>
    </row>
    <row r="9" customFormat="false" ht="15" hidden="false" customHeight="false" outlineLevel="0" collapsed="false">
      <c r="A9" s="5" t="s">
        <v>129</v>
      </c>
      <c r="B9" s="5" t="s">
        <v>97</v>
      </c>
      <c r="C9" s="24" t="n">
        <v>0</v>
      </c>
      <c r="D9" s="5" t="s">
        <v>120</v>
      </c>
      <c r="E9" s="15" t="n">
        <v>1</v>
      </c>
      <c r="F9" s="15" t="n">
        <v>1</v>
      </c>
      <c r="G9" s="20" t="n">
        <f aca="false">IF($D9="USD",$C9*Założenia!$B$5,$C9)*E9</f>
        <v>0</v>
      </c>
      <c r="H9" s="20" t="n">
        <f aca="false">IF($D9="USD",$C9*Założenia!$B$5,$C9)*F9</f>
        <v>0</v>
      </c>
      <c r="I9" s="5" t="s">
        <v>79</v>
      </c>
      <c r="J9" s="5" t="s">
        <v>130</v>
      </c>
    </row>
    <row r="10" customFormat="false" ht="15" hidden="false" customHeight="false" outlineLevel="0" collapsed="false">
      <c r="A10" s="5" t="s">
        <v>131</v>
      </c>
      <c r="B10" s="5" t="s">
        <v>97</v>
      </c>
      <c r="C10" s="18" t="n">
        <v>0</v>
      </c>
      <c r="D10" s="5" t="s">
        <v>127</v>
      </c>
      <c r="E10" s="15" t="n">
        <v>1</v>
      </c>
      <c r="F10" s="15" t="n">
        <v>1</v>
      </c>
      <c r="G10" s="20" t="n">
        <f aca="false">IF($D10="USD",$C10*Założenia!$B$5,$C10)*E10</f>
        <v>0</v>
      </c>
      <c r="H10" s="20" t="n">
        <f aca="false">IF($D10="USD",$C10*Założenia!$B$5,$C10)*F10</f>
        <v>0</v>
      </c>
      <c r="I10" s="5" t="s">
        <v>79</v>
      </c>
      <c r="J10" s="5" t="s">
        <v>132</v>
      </c>
    </row>
    <row r="11" customFormat="false" ht="15" hidden="false" customHeight="false" outlineLevel="0" collapsed="false">
      <c r="A11" s="5" t="s">
        <v>133</v>
      </c>
      <c r="B11" s="5" t="s">
        <v>97</v>
      </c>
      <c r="C11" s="18" t="n">
        <v>0</v>
      </c>
      <c r="D11" s="5" t="s">
        <v>127</v>
      </c>
      <c r="E11" s="15" t="n">
        <v>1</v>
      </c>
      <c r="F11" s="15" t="n">
        <v>1</v>
      </c>
      <c r="G11" s="20" t="n">
        <f aca="false">IF($D11="USD",$C11*Założenia!$B$5,$C11)*E11</f>
        <v>0</v>
      </c>
      <c r="H11" s="20" t="n">
        <f aca="false">IF($D11="USD",$C11*Założenia!$B$5,$C11)*F11</f>
        <v>0</v>
      </c>
      <c r="I11" s="5" t="s">
        <v>79</v>
      </c>
      <c r="J11" s="5" t="s">
        <v>134</v>
      </c>
    </row>
    <row r="12" customFormat="false" ht="15" hidden="false" customHeight="false" outlineLevel="0" collapsed="false">
      <c r="A12" s="5" t="s">
        <v>135</v>
      </c>
      <c r="B12" s="5" t="s">
        <v>136</v>
      </c>
      <c r="C12" s="25" t="n">
        <f aca="false">Założenia!B13</f>
        <v>0.17</v>
      </c>
      <c r="D12" s="5" t="s">
        <v>127</v>
      </c>
      <c r="E12" s="6" t="n">
        <f aca="false">Założenia!B9*Założenia!B11*Założenia!B12</f>
        <v>60</v>
      </c>
      <c r="F12" s="6" t="n">
        <f aca="false">Założenia!C9*Założenia!C11*Założenia!C12</f>
        <v>360</v>
      </c>
      <c r="G12" s="20" t="n">
        <f aca="false">IF($D12="USD",$C12*Założenia!$B$5,$C12)*E12</f>
        <v>10.2</v>
      </c>
      <c r="H12" s="20" t="n">
        <f aca="false">IF($D12="USD",$C12*Założenia!$B$5,$C12)*F12</f>
        <v>61.2</v>
      </c>
      <c r="I12" s="5" t="s">
        <v>79</v>
      </c>
      <c r="J12" s="5" t="s">
        <v>137</v>
      </c>
    </row>
    <row r="13" customFormat="false" ht="15" hidden="false" customHeight="false" outlineLevel="0" collapsed="false">
      <c r="A13" s="5" t="s">
        <v>138</v>
      </c>
      <c r="B13" s="5" t="s">
        <v>136</v>
      </c>
      <c r="C13" s="25" t="n">
        <f aca="false">Założenia!B13</f>
        <v>0.17</v>
      </c>
      <c r="D13" s="5" t="s">
        <v>127</v>
      </c>
      <c r="E13" s="6" t="n">
        <f aca="false">Założenia!B9*Założenia!B10</f>
        <v>20</v>
      </c>
      <c r="F13" s="6" t="n">
        <f aca="false">Założenia!C9*Założenia!C10</f>
        <v>120</v>
      </c>
      <c r="G13" s="20" t="n">
        <f aca="false">IF($D13="USD",$C13*Założenia!$B$5,$C13)*E13</f>
        <v>3.4</v>
      </c>
      <c r="H13" s="20" t="n">
        <f aca="false">IF($D13="USD",$C13*Założenia!$B$5,$C13)*F13</f>
        <v>20.4</v>
      </c>
      <c r="I13" s="5" t="s">
        <v>79</v>
      </c>
      <c r="J13" s="5" t="s">
        <v>139</v>
      </c>
    </row>
    <row r="14" customFormat="false" ht="15" hidden="false" customHeight="false" outlineLevel="0" collapsed="false">
      <c r="A14" s="5" t="s">
        <v>140</v>
      </c>
      <c r="B14" s="5" t="s">
        <v>136</v>
      </c>
      <c r="C14" s="18" t="n">
        <v>0</v>
      </c>
      <c r="D14" s="5" t="s">
        <v>127</v>
      </c>
      <c r="E14" s="15" t="n">
        <v>1</v>
      </c>
      <c r="F14" s="15" t="n">
        <v>1</v>
      </c>
      <c r="G14" s="20" t="n">
        <f aca="false">IF($D14="USD",$C14*Założenia!$B$5,$C14)*E14</f>
        <v>0</v>
      </c>
      <c r="H14" s="20" t="n">
        <f aca="false">IF($D14="USD",$C14*Założenia!$B$5,$C14)*F14</f>
        <v>0</v>
      </c>
      <c r="I14" s="5" t="s">
        <v>79</v>
      </c>
      <c r="J14" s="5" t="s">
        <v>141</v>
      </c>
    </row>
    <row r="15" customFormat="false" ht="15" hidden="false" customHeight="false" outlineLevel="0" collapsed="false">
      <c r="A15" s="5" t="s">
        <v>142</v>
      </c>
      <c r="B15" s="5" t="s">
        <v>143</v>
      </c>
      <c r="C15" s="24" t="n">
        <v>100</v>
      </c>
      <c r="D15" s="5" t="s">
        <v>120</v>
      </c>
      <c r="E15" s="15" t="n">
        <v>1</v>
      </c>
      <c r="F15" s="15" t="n">
        <v>1</v>
      </c>
      <c r="G15" s="20" t="n">
        <f aca="false">IF($D15="USD",$C15*Założenia!$B$5,$C15)*E15</f>
        <v>388.27</v>
      </c>
      <c r="H15" s="20" t="n">
        <f aca="false">IF($D15="USD",$C15*Założenia!$B$5,$C15)*F15</f>
        <v>388.27</v>
      </c>
      <c r="I15" s="5" t="s">
        <v>79</v>
      </c>
      <c r="J15" s="5" t="s">
        <v>144</v>
      </c>
    </row>
    <row r="16" customFormat="false" ht="15" hidden="false" customHeight="false" outlineLevel="0" collapsed="false">
      <c r="A16" s="5" t="s">
        <v>145</v>
      </c>
      <c r="B16" s="5" t="s">
        <v>143</v>
      </c>
      <c r="C16" s="18" t="n">
        <v>31.5</v>
      </c>
      <c r="D16" s="5" t="s">
        <v>127</v>
      </c>
      <c r="E16" s="6" t="n">
        <f aca="false">Założenia!B14</f>
        <v>2</v>
      </c>
      <c r="F16" s="6" t="n">
        <f aca="false">Założenia!C14</f>
        <v>3</v>
      </c>
      <c r="G16" s="20" t="n">
        <f aca="false">IF($D16="USD",$C16*Założenia!$B$5,$C16)*E16</f>
        <v>63</v>
      </c>
      <c r="H16" s="20" t="n">
        <f aca="false">IF($D16="USD",$C16*Założenia!$B$5,$C16)*F16</f>
        <v>94.5</v>
      </c>
      <c r="I16" s="5" t="s">
        <v>79</v>
      </c>
      <c r="J16" s="5" t="s">
        <v>146</v>
      </c>
    </row>
    <row r="17" customFormat="false" ht="15" hidden="false" customHeight="false" outlineLevel="0" collapsed="false">
      <c r="A17" s="5" t="s">
        <v>147</v>
      </c>
      <c r="B17" s="5" t="s">
        <v>78</v>
      </c>
      <c r="C17" s="18" t="n">
        <v>800</v>
      </c>
      <c r="D17" s="5" t="s">
        <v>127</v>
      </c>
      <c r="E17" s="15" t="n">
        <v>1</v>
      </c>
      <c r="F17" s="15" t="n">
        <v>1</v>
      </c>
      <c r="G17" s="20" t="n">
        <f aca="false">IF($D17="USD",$C17*Założenia!$B$5,$C17)*E17</f>
        <v>800</v>
      </c>
      <c r="H17" s="20" t="n">
        <f aca="false">IF($D17="USD",$C17*Założenia!$B$5,$C17)*F17</f>
        <v>800</v>
      </c>
      <c r="I17" s="5" t="s">
        <v>92</v>
      </c>
      <c r="J17" s="5" t="s">
        <v>148</v>
      </c>
    </row>
    <row r="18" customFormat="false" ht="15" hidden="false" customHeight="false" outlineLevel="0" collapsed="false">
      <c r="A18" s="5" t="s">
        <v>149</v>
      </c>
      <c r="B18" s="5" t="s">
        <v>78</v>
      </c>
      <c r="C18" s="18" t="n">
        <v>30</v>
      </c>
      <c r="D18" s="5" t="s">
        <v>127</v>
      </c>
      <c r="E18" s="15" t="n">
        <v>1</v>
      </c>
      <c r="F18" s="15" t="n">
        <v>1</v>
      </c>
      <c r="G18" s="20" t="n">
        <f aca="false">IF($D18="USD",$C18*Założenia!$B$5,$C18)*E18</f>
        <v>30</v>
      </c>
      <c r="H18" s="20" t="n">
        <f aca="false">IF($D18="USD",$C18*Założenia!$B$5,$C18)*F18</f>
        <v>30</v>
      </c>
      <c r="I18" s="5" t="s">
        <v>92</v>
      </c>
      <c r="J18" s="5" t="s">
        <v>150</v>
      </c>
    </row>
    <row r="19" customFormat="false" ht="15" hidden="false" customHeight="false" outlineLevel="0" collapsed="false">
      <c r="A19" s="5" t="s">
        <v>151</v>
      </c>
      <c r="B19" s="5" t="s">
        <v>78</v>
      </c>
      <c r="C19" s="18" t="n">
        <v>100</v>
      </c>
      <c r="D19" s="5" t="s">
        <v>127</v>
      </c>
      <c r="E19" s="15" t="n">
        <v>1</v>
      </c>
      <c r="F19" s="15" t="n">
        <v>1</v>
      </c>
      <c r="G19" s="20" t="n">
        <f aca="false">IF($D19="USD",$C19*Założenia!$B$5,$C19)*E19</f>
        <v>100</v>
      </c>
      <c r="H19" s="20" t="n">
        <f aca="false">IF($D19="USD",$C19*Założenia!$B$5,$C19)*F19</f>
        <v>100</v>
      </c>
      <c r="I19" s="5" t="s">
        <v>92</v>
      </c>
      <c r="J19" s="5" t="s">
        <v>152</v>
      </c>
    </row>
    <row r="20" customFormat="false" ht="15" hidden="false" customHeight="false" outlineLevel="0" collapsed="false">
      <c r="A20" s="5" t="s">
        <v>153</v>
      </c>
      <c r="B20" s="5" t="s">
        <v>78</v>
      </c>
      <c r="C20" s="20" t="n">
        <f aca="false">1788.29+830.58</f>
        <v>2618.87</v>
      </c>
      <c r="D20" s="5" t="s">
        <v>127</v>
      </c>
      <c r="E20" s="6" t="n">
        <f aca="false">Założenia!B15</f>
        <v>0</v>
      </c>
      <c r="F20" s="6" t="n">
        <f aca="false">Założenia!C15</f>
        <v>0</v>
      </c>
      <c r="G20" s="20" t="n">
        <f aca="false">IF($D20="USD",$C20*Założenia!$B$5,$C20)*E20</f>
        <v>0</v>
      </c>
      <c r="H20" s="20" t="n">
        <f aca="false">IF($D20="USD",$C20*Założenia!$B$5,$C20)*F20</f>
        <v>0</v>
      </c>
      <c r="I20" s="5" t="s">
        <v>79</v>
      </c>
      <c r="J20" s="5" t="s">
        <v>154</v>
      </c>
    </row>
    <row r="21" customFormat="false" ht="15" hidden="false" customHeight="false" outlineLevel="0" collapsed="false">
      <c r="A21" s="5" t="s">
        <v>155</v>
      </c>
      <c r="B21" s="5" t="s">
        <v>78</v>
      </c>
      <c r="C21" s="20" t="n">
        <f aca="false">2000/12</f>
        <v>166.666666666667</v>
      </c>
      <c r="D21" s="5" t="s">
        <v>127</v>
      </c>
      <c r="E21" s="15" t="n">
        <v>0</v>
      </c>
      <c r="F21" s="15" t="n">
        <v>1</v>
      </c>
      <c r="G21" s="20" t="n">
        <f aca="false">IF($D21="USD",$C21*Założenia!$B$5,$C21)*E21</f>
        <v>0</v>
      </c>
      <c r="H21" s="20" t="n">
        <f aca="false">IF($D21="USD",$C21*Założenia!$B$5,$C21)*F21</f>
        <v>166.666666666667</v>
      </c>
      <c r="I21" s="5" t="s">
        <v>92</v>
      </c>
      <c r="J21" s="5" t="s">
        <v>156</v>
      </c>
    </row>
    <row r="22" customFormat="false" ht="15" hidden="false" customHeight="false" outlineLevel="0" collapsed="false">
      <c r="A22" s="5" t="s">
        <v>157</v>
      </c>
      <c r="B22" s="5" t="s">
        <v>158</v>
      </c>
      <c r="C22" s="18" t="n">
        <v>40</v>
      </c>
      <c r="D22" s="5" t="s">
        <v>127</v>
      </c>
      <c r="E22" s="15" t="n">
        <v>1</v>
      </c>
      <c r="F22" s="15" t="n">
        <v>1</v>
      </c>
      <c r="G22" s="20" t="n">
        <f aca="false">IF($D22="USD",$C22*Założenia!$B$5,$C22)*E22</f>
        <v>40</v>
      </c>
      <c r="H22" s="20" t="n">
        <f aca="false">IF($D22="USD",$C22*Założenia!$B$5,$C22)*F22</f>
        <v>40</v>
      </c>
      <c r="I22" s="5" t="s">
        <v>92</v>
      </c>
      <c r="J22" s="5" t="s">
        <v>159</v>
      </c>
    </row>
    <row r="23" customFormat="false" ht="15" hidden="false" customHeight="false" outlineLevel="0" collapsed="false">
      <c r="A23" s="5" t="s">
        <v>160</v>
      </c>
      <c r="B23" s="5" t="s">
        <v>158</v>
      </c>
      <c r="C23" s="18" t="n">
        <v>3000</v>
      </c>
      <c r="D23" s="5" t="s">
        <v>127</v>
      </c>
      <c r="E23" s="15" t="n">
        <v>0</v>
      </c>
      <c r="F23" s="15" t="n">
        <v>1</v>
      </c>
      <c r="G23" s="20" t="n">
        <f aca="false">IF($D23="USD",$C23*Założenia!$B$5,$C23)*E23</f>
        <v>0</v>
      </c>
      <c r="H23" s="20" t="n">
        <f aca="false">IF($D23="USD",$C23*Założenia!$B$5,$C23)*F23</f>
        <v>3000</v>
      </c>
      <c r="I23" s="5" t="s">
        <v>92</v>
      </c>
      <c r="J23" s="5" t="s">
        <v>161</v>
      </c>
    </row>
    <row r="24" customFormat="false" ht="15" hidden="false" customHeight="false" outlineLevel="0" collapsed="false">
      <c r="A24" s="5" t="s">
        <v>162</v>
      </c>
      <c r="B24" s="5" t="s">
        <v>163</v>
      </c>
      <c r="C24" s="18" t="n">
        <v>1</v>
      </c>
      <c r="D24" s="5" t="s">
        <v>127</v>
      </c>
      <c r="E24" s="15" t="n">
        <v>400</v>
      </c>
      <c r="F24" s="15" t="n">
        <v>800</v>
      </c>
      <c r="G24" s="20" t="n">
        <f aca="false">IF($D24="USD",$C24*Założenia!$B$5,$C24)*E24</f>
        <v>400</v>
      </c>
      <c r="H24" s="20" t="n">
        <f aca="false">IF($D24="USD",$C24*Założenia!$B$5,$C24)*F24</f>
        <v>800</v>
      </c>
      <c r="I24" s="5" t="s">
        <v>92</v>
      </c>
      <c r="J24" s="5" t="s">
        <v>164</v>
      </c>
    </row>
    <row r="25" customFormat="false" ht="15" hidden="false" customHeight="false" outlineLevel="0" collapsed="false">
      <c r="A25" s="5" t="s">
        <v>165</v>
      </c>
      <c r="B25" s="5" t="s">
        <v>166</v>
      </c>
      <c r="C25" s="18" t="n">
        <v>1</v>
      </c>
      <c r="D25" s="5" t="s">
        <v>127</v>
      </c>
      <c r="E25" s="15" t="n">
        <v>1500</v>
      </c>
      <c r="F25" s="15" t="n">
        <v>4000</v>
      </c>
      <c r="G25" s="20" t="n">
        <f aca="false">IF($D25="USD",$C25*Założenia!$B$5,$C25)*E25</f>
        <v>1500</v>
      </c>
      <c r="H25" s="20" t="n">
        <f aca="false">IF($D25="USD",$C25*Założenia!$B$5,$C25)*F25</f>
        <v>4000</v>
      </c>
      <c r="I25" s="5" t="s">
        <v>92</v>
      </c>
      <c r="J25" s="5" t="s">
        <v>167</v>
      </c>
    </row>
    <row r="26" customFormat="false" ht="15" hidden="false" customHeight="false" outlineLevel="0" collapsed="false">
      <c r="A26" s="5" t="s">
        <v>168</v>
      </c>
      <c r="B26" s="5" t="s">
        <v>100</v>
      </c>
      <c r="C26" s="18" t="n">
        <v>100</v>
      </c>
      <c r="D26" s="5" t="s">
        <v>127</v>
      </c>
      <c r="E26" s="15" t="n">
        <v>0</v>
      </c>
      <c r="F26" s="15" t="n">
        <v>1</v>
      </c>
      <c r="G26" s="20" t="n">
        <f aca="false">IF($D26="USD",$C26*Założenia!$B$5,$C26)*E26</f>
        <v>0</v>
      </c>
      <c r="H26" s="20" t="n">
        <f aca="false">IF($D26="USD",$C26*Założenia!$B$5,$C26)*F26</f>
        <v>100</v>
      </c>
      <c r="I26" s="5" t="s">
        <v>92</v>
      </c>
      <c r="J26" s="5"/>
    </row>
    <row r="27" customFormat="false" ht="15" hidden="false" customHeight="false" outlineLevel="0" collapsed="false">
      <c r="A27" s="8" t="s">
        <v>169</v>
      </c>
      <c r="B27" s="21"/>
      <c r="C27" s="21"/>
      <c r="D27" s="21"/>
      <c r="E27" s="21"/>
      <c r="F27" s="21"/>
      <c r="G27" s="22" t="n">
        <f aca="false">SUM(G5:G26)</f>
        <v>3509.5915</v>
      </c>
      <c r="H27" s="22" t="n">
        <f aca="false">SUM(H5:H26)</f>
        <v>9819.501</v>
      </c>
      <c r="I27" s="21"/>
      <c r="J27" s="21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5" hidden="false" customHeight="false" outlineLevel="0" collapsed="false">
      <c r="A29" s="13" t="s">
        <v>170</v>
      </c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5" hidden="false" customHeight="false" outlineLevel="0" collapsed="false">
      <c r="A30" s="4" t="s">
        <v>73</v>
      </c>
      <c r="B30" s="2"/>
      <c r="C30" s="2"/>
      <c r="D30" s="2"/>
      <c r="E30" s="2"/>
      <c r="F30" s="2"/>
      <c r="G30" s="4" t="s">
        <v>117</v>
      </c>
      <c r="H30" s="4" t="s">
        <v>118</v>
      </c>
      <c r="I30" s="2"/>
      <c r="J30" s="2"/>
    </row>
    <row r="31" customFormat="false" ht="15" hidden="false" customHeight="false" outlineLevel="0" collapsed="false">
      <c r="A31" s="5" t="s">
        <v>97</v>
      </c>
      <c r="B31" s="2"/>
      <c r="C31" s="2"/>
      <c r="D31" s="2"/>
      <c r="E31" s="2"/>
      <c r="F31" s="2"/>
      <c r="G31" s="20" t="n">
        <f aca="false">SUMIFS(G$5:G$26,$B$5:$B$26,$A31)</f>
        <v>174.7215</v>
      </c>
      <c r="H31" s="20" t="n">
        <f aca="false">SUMIFS(H$5:H$26,$B$5:$B$26,$A31)</f>
        <v>218.464333333333</v>
      </c>
      <c r="I31" s="2"/>
      <c r="J31" s="2"/>
    </row>
    <row r="32" customFormat="false" ht="15" hidden="false" customHeight="false" outlineLevel="0" collapsed="false">
      <c r="A32" s="5" t="s">
        <v>136</v>
      </c>
      <c r="B32" s="2"/>
      <c r="C32" s="2"/>
      <c r="D32" s="2"/>
      <c r="E32" s="2"/>
      <c r="F32" s="2"/>
      <c r="G32" s="20" t="n">
        <f aca="false">SUMIFS(G$5:G$26,$B$5:$B$26,$A32)</f>
        <v>13.6</v>
      </c>
      <c r="H32" s="20" t="n">
        <f aca="false">SUMIFS(H$5:H$26,$B$5:$B$26,$A32)</f>
        <v>81.6</v>
      </c>
      <c r="I32" s="2"/>
      <c r="J32" s="2"/>
    </row>
    <row r="33" customFormat="false" ht="15" hidden="false" customHeight="false" outlineLevel="0" collapsed="false">
      <c r="A33" s="5" t="s">
        <v>143</v>
      </c>
      <c r="B33" s="2"/>
      <c r="C33" s="2"/>
      <c r="D33" s="2"/>
      <c r="E33" s="2"/>
      <c r="F33" s="2"/>
      <c r="G33" s="20" t="n">
        <f aca="false">SUMIFS(G$5:G$26,$B$5:$B$26,$A33)</f>
        <v>451.27</v>
      </c>
      <c r="H33" s="20" t="n">
        <f aca="false">SUMIFS(H$5:H$26,$B$5:$B$26,$A33)</f>
        <v>482.77</v>
      </c>
      <c r="I33" s="2"/>
      <c r="J33" s="2"/>
    </row>
    <row r="34" customFormat="false" ht="15" hidden="false" customHeight="false" outlineLevel="0" collapsed="false">
      <c r="A34" s="5" t="s">
        <v>78</v>
      </c>
      <c r="B34" s="2"/>
      <c r="C34" s="2"/>
      <c r="D34" s="2"/>
      <c r="E34" s="2"/>
      <c r="F34" s="2"/>
      <c r="G34" s="20" t="n">
        <f aca="false">SUMIFS(G$5:G$26,$B$5:$B$26,$A34)</f>
        <v>930</v>
      </c>
      <c r="H34" s="20" t="n">
        <f aca="false">SUMIFS(H$5:H$26,$B$5:$B$26,$A34)</f>
        <v>1096.66666666667</v>
      </c>
      <c r="I34" s="2"/>
      <c r="J34" s="2"/>
    </row>
    <row r="35" customFormat="false" ht="15" hidden="false" customHeight="false" outlineLevel="0" collapsed="false">
      <c r="A35" s="5" t="s">
        <v>158</v>
      </c>
      <c r="B35" s="2"/>
      <c r="C35" s="2"/>
      <c r="D35" s="2"/>
      <c r="E35" s="2"/>
      <c r="F35" s="2"/>
      <c r="G35" s="20" t="n">
        <f aca="false">SUMIFS(G$5:G$26,$B$5:$B$26,$A35)</f>
        <v>40</v>
      </c>
      <c r="H35" s="20" t="n">
        <f aca="false">SUMIFS(H$5:H$26,$B$5:$B$26,$A35)</f>
        <v>3040</v>
      </c>
      <c r="I35" s="2"/>
      <c r="J35" s="2"/>
    </row>
    <row r="36" customFormat="false" ht="15" hidden="false" customHeight="false" outlineLevel="0" collapsed="false">
      <c r="A36" s="5" t="s">
        <v>163</v>
      </c>
      <c r="B36" s="2"/>
      <c r="C36" s="2"/>
      <c r="D36" s="2"/>
      <c r="E36" s="2"/>
      <c r="F36" s="2"/>
      <c r="G36" s="20" t="n">
        <f aca="false">SUMIFS(G$5:G$26,$B$5:$B$26,$A36)</f>
        <v>400</v>
      </c>
      <c r="H36" s="20" t="n">
        <f aca="false">SUMIFS(H$5:H$26,$B$5:$B$26,$A36)</f>
        <v>800</v>
      </c>
      <c r="I36" s="2"/>
      <c r="J36" s="2"/>
    </row>
    <row r="37" customFormat="false" ht="15" hidden="false" customHeight="false" outlineLevel="0" collapsed="false">
      <c r="A37" s="5" t="s">
        <v>166</v>
      </c>
      <c r="B37" s="2"/>
      <c r="C37" s="2"/>
      <c r="D37" s="2"/>
      <c r="E37" s="2"/>
      <c r="F37" s="2"/>
      <c r="G37" s="20" t="n">
        <f aca="false">SUMIFS(G$5:G$26,$B$5:$B$26,$A37)</f>
        <v>1500</v>
      </c>
      <c r="H37" s="20" t="n">
        <f aca="false">SUMIFS(H$5:H$26,$B$5:$B$26,$A37)</f>
        <v>4000</v>
      </c>
      <c r="I37" s="2"/>
      <c r="J37" s="2"/>
    </row>
    <row r="38" customFormat="false" ht="15" hidden="false" customHeight="false" outlineLevel="0" collapsed="false">
      <c r="A38" s="5" t="s">
        <v>100</v>
      </c>
      <c r="B38" s="2"/>
      <c r="C38" s="2"/>
      <c r="D38" s="2"/>
      <c r="E38" s="2"/>
      <c r="F38" s="2"/>
      <c r="G38" s="20" t="n">
        <f aca="false">SUMIFS(G$5:G$26,$B$5:$B$26,$A38)</f>
        <v>0</v>
      </c>
      <c r="H38" s="20" t="n">
        <f aca="false">SUMIFS(H$5:H$26,$B$5:$B$26,$A38)</f>
        <v>100</v>
      </c>
      <c r="I38" s="2"/>
      <c r="J38" s="2"/>
    </row>
    <row r="39" customFormat="false" ht="15" hidden="false" customHeight="false" outlineLevel="0" collapsed="false">
      <c r="A39" s="3" t="s">
        <v>171</v>
      </c>
      <c r="B39" s="2"/>
      <c r="C39" s="2"/>
      <c r="D39" s="2"/>
      <c r="E39" s="2"/>
      <c r="F39" s="2"/>
      <c r="G39" s="3" t="str">
        <f aca="false">IF(ROUND(SUM(G31:G38)-G27,2)=0,"OK","SPRAWDŹ")</f>
        <v>OK</v>
      </c>
      <c r="H39" s="3" t="str">
        <f aca="false">IF(ROUND(SUM(H31:H38)-H27,2)=0,"OK","SPRAWDŹ")</f>
        <v>OK</v>
      </c>
      <c r="I39" s="2"/>
      <c r="J3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172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5" t="s">
        <v>173</v>
      </c>
      <c r="B3" s="26" t="s">
        <v>174</v>
      </c>
    </row>
    <row r="4" customFormat="false" ht="15" hidden="false" customHeight="false" outlineLevel="0" collapsed="false">
      <c r="A4" s="5" t="s">
        <v>175</v>
      </c>
      <c r="B4" s="26" t="s">
        <v>176</v>
      </c>
    </row>
    <row r="5" customFormat="false" ht="15" hidden="false" customHeight="false" outlineLevel="0" collapsed="false">
      <c r="A5" s="5" t="s">
        <v>177</v>
      </c>
      <c r="B5" s="26" t="s">
        <v>178</v>
      </c>
    </row>
    <row r="6" customFormat="false" ht="15" hidden="false" customHeight="false" outlineLevel="0" collapsed="false">
      <c r="A6" s="5" t="s">
        <v>179</v>
      </c>
      <c r="B6" s="26" t="s">
        <v>180</v>
      </c>
    </row>
    <row r="7" customFormat="false" ht="15" hidden="false" customHeight="false" outlineLevel="0" collapsed="false">
      <c r="A7" s="5" t="s">
        <v>181</v>
      </c>
      <c r="B7" s="26" t="s">
        <v>182</v>
      </c>
    </row>
    <row r="8" customFormat="false" ht="15" hidden="false" customHeight="false" outlineLevel="0" collapsed="false">
      <c r="A8" s="5" t="s">
        <v>183</v>
      </c>
      <c r="B8" s="26" t="s">
        <v>184</v>
      </c>
    </row>
    <row r="9" customFormat="false" ht="15" hidden="false" customHeight="false" outlineLevel="0" collapsed="false">
      <c r="A9" s="5" t="s">
        <v>185</v>
      </c>
      <c r="B9" s="26" t="s">
        <v>186</v>
      </c>
    </row>
    <row r="10" customFormat="false" ht="15" hidden="false" customHeight="false" outlineLevel="0" collapsed="false">
      <c r="A10" s="5" t="s">
        <v>187</v>
      </c>
      <c r="B10" s="26" t="s">
        <v>188</v>
      </c>
    </row>
    <row r="11" customFormat="false" ht="15" hidden="false" customHeight="false" outlineLevel="0" collapsed="false">
      <c r="A11" s="5" t="s">
        <v>189</v>
      </c>
      <c r="B11" s="26" t="s">
        <v>190</v>
      </c>
    </row>
    <row r="12" customFormat="false" ht="15" hidden="false" customHeight="false" outlineLevel="0" collapsed="false">
      <c r="A12" s="5" t="s">
        <v>191</v>
      </c>
      <c r="B12" s="26" t="s">
        <v>192</v>
      </c>
    </row>
    <row r="13" customFormat="false" ht="15" hidden="false" customHeight="false" outlineLevel="0" collapsed="false">
      <c r="A13" s="5" t="s">
        <v>193</v>
      </c>
      <c r="B13" s="26" t="s">
        <v>194</v>
      </c>
    </row>
    <row r="14" customFormat="false" ht="15" hidden="false" customHeight="false" outlineLevel="0" collapsed="false">
      <c r="A14" s="5" t="s">
        <v>195</v>
      </c>
      <c r="B14" s="26" t="s">
        <v>196</v>
      </c>
    </row>
    <row r="15" customFormat="false" ht="15" hidden="false" customHeight="false" outlineLevel="0" collapsed="false">
      <c r="A15" s="5" t="s">
        <v>197</v>
      </c>
      <c r="B15" s="26" t="s">
        <v>198</v>
      </c>
    </row>
    <row r="16" customFormat="false" ht="15" hidden="false" customHeight="false" outlineLevel="0" collapsed="false">
      <c r="A16" s="5" t="s">
        <v>199</v>
      </c>
      <c r="B16" s="26" t="s">
        <v>200</v>
      </c>
    </row>
    <row r="17" customFormat="false" ht="15" hidden="false" customHeight="false" outlineLevel="0" collapsed="false">
      <c r="A17" s="5" t="s">
        <v>201</v>
      </c>
      <c r="B17" s="26" t="s">
        <v>202</v>
      </c>
    </row>
  </sheetData>
  <hyperlinks>
    <hyperlink ref="B3" r:id="rId1" display="https://comparic.pl/dolar-kolejny-dzien-mocno-traci-co-dzieje-sie-z-kursami-dolara-euro-franka-i-funta-16-10-2026/"/>
    <hyperlink ref="B4" r:id="rId2" display="https://makerkit.dev/blog/md/saas/supabase-pricing"/>
    <hyperlink ref="B5" r:id="rId3" display="https://makerkit.dev/blog/saas/vercel-cost"/>
    <hyperlink ref="B6" r:id="rId4" display="https://www.smsapi.pl/cennik"/>
    <hyperlink ref="B7" r:id="rId5" display="https://norman.finance/pl/blog/jak-zalozyc-spolke-z-o-o"/>
    <hyperlink ref="B8" r:id="rId6" display="https://norman.finance/pl/blog/ile-kosztuje-prowadzenie-spolki-z-o-o"/>
    <hyperlink ref="B9" r:id="rId7" display="https://poradnikprzedsiebiorcy.pl/-oplaty-za-rejestracje-znaku-towarowego-ile-wynosza"/>
    <hyperlink ref="B10" r:id="rId8" display="https://www.ovhcloud.com/pl/domains/tld/pl/"/>
    <hyperlink ref="B11" r:id="rId9" display="https://antyweb.pl/google-miesza-z-cenami-tlumaczymy-nowy-cennik"/>
    <hyperlink ref="B12" r:id="rId10" display="https://toolquestor.com/pl/tool/brevo"/>
    <hyperlink ref="B13" r:id="rId11" display="https://supabase.com/docs/guides/auth/auth-smtp"/>
    <hyperlink ref="B14" r:id="rId12" display="https://support.claude.com/en/articles/11049744-how-much-does-the-max-plan-cost"/>
    <hyperlink ref="B15" r:id="rId13" display="https://support.claude.com/en/articles/8325606"/>
    <hyperlink ref="B16" r:id="rId14" display="https://freenance.io/ubezpieczenia/ubezpieczenie-cyber-2026-poland-koszt-firma-hacking-ransomware-rodo-procedura/"/>
    <hyperlink ref="B17" r:id="rId15" display="https://business.google.com/pl/resources/articles/google-ads-cost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2026-10-16T19:02:08Z</dcterms:created>
  <dc:creator>openpyxl</dc:creator>
  <dc:description/>
  <dc:language>en-US</dc:language>
  <cp:lastModifiedBy/>
  <dcterms:modified xsi:type="dcterms:W3CDTF">2026-10-16T19:02:08Z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